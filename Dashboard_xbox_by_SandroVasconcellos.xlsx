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URSO_EXCEL_AI_DIO\PROJETO - criando um dashboard de vendas do xbox com excel\"/>
    </mc:Choice>
  </mc:AlternateContent>
  <xr:revisionPtr revIDLastSave="0" documentId="13_ncr:1_{B153A949-7EAB-4C3A-8E17-2536C051A459}" xr6:coauthVersionLast="47" xr6:coauthVersionMax="47" xr10:uidLastSave="{00000000-0000-0000-0000-000000000000}"/>
  <bookViews>
    <workbookView xWindow="25080" yWindow="-120" windowWidth="25440" windowHeight="15540" tabRatio="241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E31" i="3"/>
</calcChain>
</file>

<file path=xl/sharedStrings.xml><?xml version="1.0" encoding="utf-8"?>
<sst xmlns="http://schemas.openxmlformats.org/spreadsheetml/2006/main" count="2031" uniqueCount="327">
  <si>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</si>
  <si>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</si>
  <si>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</si>
  <si>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</si>
  <si>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</si>
  <si>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</si>
  <si>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</si>
  <si>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</si>
  <si>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</si>
  <si>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</si>
  <si>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</si>
  <si>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</si>
  <si>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</si>
  <si>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</si>
  <si>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</si>
  <si>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</si>
  <si>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</si>
  <si>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</si>
  <si>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</si>
  <si>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</si>
  <si>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</si>
  <si>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</si>
  <si>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</si>
  <si>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</si>
  <si>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</si>
  <si>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</si>
  <si>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</si>
  <si>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</si>
  <si>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</si>
  <si>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</si>
  <si>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</si>
  <si>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</si>
  <si>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</si>
  <si>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</si>
  <si>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</si>
  <si>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</si>
  <si>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</si>
  <si>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</si>
  <si>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</si>
  <si>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</si>
  <si>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</si>
  <si>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</si>
  <si>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</si>
  <si>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</si>
  <si>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</si>
  <si>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</si>
  <si>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</si>
  <si>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</si>
  <si>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</si>
  <si>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</si>
  <si>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</si>
  <si>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</si>
  <si>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</si>
  <si>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</si>
  <si>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</si>
  <si>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</si>
  <si>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</si>
  <si>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</si>
  <si>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</si>
  <si>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</si>
  <si>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</si>
  <si>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</si>
  <si>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</si>
  <si>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</si>
  <si>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</si>
  <si>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</si>
  <si>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</si>
  <si>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</si>
  <si>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</si>
  <si>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</si>
  <si>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</si>
  <si>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</si>
  <si>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</si>
  <si>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</si>
  <si>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</si>
  <si>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</si>
  <si>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</si>
  <si>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</si>
  <si>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</si>
  <si>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</si>
  <si>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</si>
  <si>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</si>
  <si>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</si>
  <si>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</si>
  <si>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</si>
  <si>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</si>
  <si>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</si>
  <si>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</si>
  <si>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</si>
  <si>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</si>
  <si>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</si>
  <si>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</si>
  <si>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</si>
  <si>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</si>
  <si>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</si>
  <si>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</si>
  <si>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</si>
  <si>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</si>
  <si>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</si>
  <si>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</si>
  <si>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</si>
  <si>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</si>
  <si>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</si>
  <si>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</si>
  <si>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</si>
  <si>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</si>
  <si>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</si>
  <si>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</si>
  <si>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</si>
  <si>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</si>
  <si>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</si>
  <si>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</si>
  <si>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</si>
  <si>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</si>
  <si>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</si>
  <si>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</si>
  <si>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</si>
  <si>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</si>
  <si>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</si>
  <si>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</si>
  <si>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</si>
  <si>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</si>
  <si>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</si>
  <si>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</si>
  <si>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</si>
  <si>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</si>
  <si>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</si>
  <si>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</si>
  <si>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</si>
  <si>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</si>
  <si>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</si>
  <si>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</si>
  <si>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</si>
  <si>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</si>
  <si>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</si>
  <si>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</si>
  <si>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</si>
  <si>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</si>
  <si>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</si>
  <si>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</si>
  <si>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</si>
  <si>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</si>
  <si>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</si>
  <si>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</si>
  <si>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</si>
  <si>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</si>
  <si>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</si>
  <si>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</si>
  <si>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</si>
  <si>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</si>
  <si>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</si>
  <si>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</si>
  <si>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</si>
  <si>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</si>
  <si>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</si>
  <si>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</si>
  <si>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</si>
  <si>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</si>
  <si>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</si>
  <si>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</si>
  <si>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</si>
  <si>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</si>
  <si>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</si>
  <si>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</si>
  <si>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</si>
  <si>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</si>
  <si>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</si>
  <si>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</si>
  <si>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</si>
  <si>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</si>
  <si>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</si>
  <si>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</si>
  <si>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</si>
  <si>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</si>
  <si>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</si>
  <si>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</si>
  <si>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</si>
  <si>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</si>
  <si>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</si>
  <si>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</si>
  <si>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</si>
  <si>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</si>
  <si>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</si>
  <si>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</si>
  <si>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</si>
  <si>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</si>
  <si>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</si>
  <si>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</si>
  <si>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</si>
  <si>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</si>
  <si>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</si>
  <si>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</si>
  <si>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</si>
  <si>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</si>
  <si>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</si>
  <si>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</si>
  <si>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</si>
  <si>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</si>
  <si>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</si>
  <si>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</si>
  <si>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</si>
  <si>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</si>
  <si>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</si>
  <si>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</si>
  <si>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</si>
  <si>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</si>
  <si>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</si>
  <si>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</si>
  <si>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</si>
  <si>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</si>
  <si>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</si>
  <si>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</si>
  <si>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</si>
  <si>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</si>
  <si>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</si>
  <si>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</si>
  <si>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</si>
  <si>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</si>
  <si>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</si>
  <si>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</si>
  <si>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</si>
  <si>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</si>
  <si>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</si>
  <si>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</si>
  <si>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</si>
  <si>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</si>
  <si>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</si>
  <si>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</si>
  <si>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</si>
  <si>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</si>
  <si>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</si>
  <si>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</si>
  <si>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</si>
  <si>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</si>
  <si>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</si>
  <si>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</si>
  <si>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</si>
  <si>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</si>
  <si>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</si>
  <si>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</si>
  <si>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</si>
  <si>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</si>
  <si>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</si>
  <si>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</si>
  <si>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</si>
  <si>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</si>
  <si>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</si>
  <si>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</si>
  <si>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</si>
  <si>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</si>
  <si>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</si>
  <si>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</si>
  <si>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</si>
  <si>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</si>
  <si>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</si>
  <si>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</si>
  <si>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</si>
  <si>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</si>
  <si>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</si>
  <si>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</si>
  <si>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</si>
  <si>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</si>
  <si>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</si>
  <si>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</si>
  <si>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</si>
  <si>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</si>
  <si>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</si>
  <si>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</si>
  <si>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</si>
  <si>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</si>
  <si>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</si>
  <si>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</si>
  <si>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</si>
  <si>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</si>
  <si>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</si>
  <si>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</si>
  <si>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</si>
  <si>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</si>
  <si>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</si>
  <si>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</si>
  <si>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</si>
  <si>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</si>
  <si>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</si>
  <si>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</si>
  <si>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</si>
  <si>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</si>
  <si>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</si>
  <si>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</si>
  <si>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</si>
  <si>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</si>
  <si>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</si>
  <si>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</si>
  <si>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</si>
  <si>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</si>
  <si>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</si>
  <si>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</si>
  <si>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</si>
  <si>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</si>
  <si>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</si>
  <si>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</si>
  <si>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</si>
  <si>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</si>
  <si>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</si>
  <si>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</si>
  <si>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</si>
  <si>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</si>
  <si>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</si>
  <si>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</si>
  <si>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</si>
  <si>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</si>
  <si>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</si>
  <si>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</si>
  <si>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</si>
  <si>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</si>
  <si>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Soma de Total Value</t>
  </si>
  <si>
    <t>Rótulos de Linha</t>
  </si>
  <si>
    <t>Total Geral</t>
  </si>
  <si>
    <t>Pergunta de Negócio 1 - Qual faturamento Total de vendas de planos anuais (contendo todas as assinaturas agregadas)</t>
  </si>
  <si>
    <t>Pergunta de Negócio 2 - Qual Faturamento Total de vendas de planos anuais , separado por auto renovação não é por auto renovação</t>
  </si>
  <si>
    <t>(Tudo)</t>
  </si>
  <si>
    <t>XBOX GAMES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</si>
  <si>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</si>
  <si>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</si>
  <si>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</si>
  <si>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</si>
  <si>
    <t>Soma de Subscription Price</t>
  </si>
  <si>
    <t>Pergunta de Negócio 5 - Total de vendas de Assinaturas do XBOXMinecraft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</si>
</sst>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22C55E"/>
      <name val="Segoe UI Black"/>
      <family val="2"/>
    </font>
    <font>
      <sz val="11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8" borderId="0" xfId="3" applyAlignment="1">
      <alignment horizont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4" borderId="0" xfId="0" applyFont="1" applyFill="1"/>
    <xf numFmtId="0" fontId="0" fillId="0" borderId="0" xfId="0" applyFill="1"/>
    <xf numFmtId="0" fontId="0" fillId="7" borderId="0" xfId="0" applyFill="1" applyBorder="1"/>
    <xf numFmtId="165" fontId="0" fillId="0" borderId="0" xfId="2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2" xfId="0" applyFont="1" applyBorder="1" applyAlignment="1">
      <alignment horizontal="left" vertical="center" indent="7"/>
    </xf>
    <xf numFmtId="0" fontId="6" fillId="0" borderId="0" xfId="0" applyFont="1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34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color theme="0"/>
        <name val="Segoe UI Light"/>
        <family val="2"/>
        <scheme val="none"/>
      </font>
    </dxf>
    <dxf>
      <fill>
        <patternFill>
          <bgColor rgb="FF22C55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meu estilo xbox" pivot="0" table="0" count="10" xr9:uid="{8B33D014-5E55-443F-B507-89D711F8996C}">
      <tableStyleElement type="wholeTable" dxfId="19"/>
      <tableStyleElement type="headerRow" dxfId="18"/>
    </tableStyle>
  </tableStyles>
  <colors>
    <mruColors>
      <color rgb="FFFCF7E0"/>
      <color rgb="FFF8E162"/>
      <color rgb="FFF3E30D"/>
      <color rgb="FFFFFFFF"/>
      <color rgb="FFDAF2D0"/>
      <color rgb="FFB5E6A2"/>
      <color rgb="FF22C55E"/>
      <color rgb="FF5BF6A8"/>
      <color rgb="FFE8E6E9"/>
      <color rgb="FF2AE6B1"/>
    </mruColors>
  </colors>
  <extLst>
    <ext xmlns:x14="http://schemas.microsoft.com/office/spreadsheetml/2009/9/main" uri="{46F421CA-312F-682f-3DD2-61675219B42D}">
      <x14:dxfs count="8">
        <dxf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</dxf>
        <dxf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</dxf>
        <dxf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</dxf>
        <dxf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</dxf>
        <dxf>
          <fill>
            <patternFill>
              <bgColor rgb="FFDAF2D0"/>
            </patternFill>
          </fill>
        </dxf>
        <dxf>
          <fill>
            <patternFill>
              <bgColor rgb="FFB5E6A2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FFFFFF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meu estilo xbox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0"/>
            <x14:slicerStyleElement type="hoveredSelectedItemWithNoData" dxfId="1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[base_xbox.xlsx]C̳álculos!tbl_annual_total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2AE6B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 w="3175" cmpd="thinThick">
                    <a:noFill/>
                  </a:ln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037-4796-93BF-CF337F300F0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037-4796-93BF-CF337F300F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37-4796-93BF-CF337F300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4123071"/>
        <c:axId val="494124031"/>
      </c:barChart>
      <c:catAx>
        <c:axId val="4941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4124031"/>
        <c:crosses val="autoZero"/>
        <c:auto val="1"/>
        <c:lblAlgn val="ctr"/>
        <c:lblOffset val="100"/>
        <c:noMultiLvlLbl val="0"/>
      </c:catAx>
      <c:valAx>
        <c:axId val="4941240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941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467570</xdr:colOff>
      <xdr:row>0</xdr:row>
      <xdr:rowOff>85724</xdr:rowOff>
    </xdr:from>
    <xdr:to>
      <xdr:col>2</xdr:col>
      <xdr:colOff>496667</xdr:colOff>
      <xdr:row>2</xdr:row>
      <xdr:rowOff>28575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FAB7D02-E1D4-067F-3012-688E93E07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272" t="16836" r="7547" b="17761"/>
        <a:stretch>
          <a:fillRect/>
        </a:stretch>
      </xdr:blipFill>
      <xdr:spPr>
        <a:xfrm>
          <a:off x="2715470" y="85724"/>
          <a:ext cx="533922" cy="628651"/>
        </a:xfrm>
        <a:prstGeom prst="rect">
          <a:avLst/>
        </a:prstGeom>
      </xdr:spPr>
    </xdr:pic>
    <xdr:clientData/>
  </xdr:twoCellAnchor>
  <xdr:twoCellAnchor editAs="absolute">
    <xdr:from>
      <xdr:col>1</xdr:col>
      <xdr:colOff>180975</xdr:colOff>
      <xdr:row>12</xdr:row>
      <xdr:rowOff>152400</xdr:rowOff>
    </xdr:from>
    <xdr:to>
      <xdr:col>18</xdr:col>
      <xdr:colOff>171450</xdr:colOff>
      <xdr:row>36</xdr:row>
      <xdr:rowOff>76200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95BAFEF-8938-D02E-CEC6-048D44635B6B}"/>
            </a:ext>
          </a:extLst>
        </xdr:cNvPr>
        <xdr:cNvGrpSpPr/>
      </xdr:nvGrpSpPr>
      <xdr:grpSpPr>
        <a:xfrm>
          <a:off x="2428875" y="3219450"/>
          <a:ext cx="10077450" cy="4495800"/>
          <a:chOff x="2019300" y="1209675"/>
          <a:chExt cx="4895850" cy="3019425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5AFDD56D-FF26-AC69-BECE-EA639B895F67}"/>
              </a:ext>
            </a:extLst>
          </xdr:cNvPr>
          <xdr:cNvSpPr/>
        </xdr:nvSpPr>
        <xdr:spPr>
          <a:xfrm>
            <a:off x="2019300" y="1209675"/>
            <a:ext cx="4895850" cy="3019425"/>
          </a:xfrm>
          <a:prstGeom prst="roundRect">
            <a:avLst>
              <a:gd name="adj" fmla="val 5353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9C007CB4-2D0A-4051-84D6-EE77E51FF51C}"/>
              </a:ext>
            </a:extLst>
          </xdr:cNvPr>
          <xdr:cNvGraphicFramePr>
            <a:graphicFrameLocks/>
          </xdr:cNvGraphicFramePr>
        </xdr:nvGraphicFramePr>
        <xdr:xfrm>
          <a:off x="2181225" y="1718295"/>
          <a:ext cx="4572000" cy="23584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76200</xdr:colOff>
      <xdr:row>4</xdr:row>
      <xdr:rowOff>142875</xdr:rowOff>
    </xdr:from>
    <xdr:to>
      <xdr:col>0</xdr:col>
      <xdr:colOff>2095500</xdr:colOff>
      <xdr:row>14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ubscription Type">
              <a:extLst>
                <a:ext uri="{FF2B5EF4-FFF2-40B4-BE49-F238E27FC236}">
                  <a16:creationId xmlns:a16="http://schemas.microsoft.com/office/drawing/2014/main" id="{BC48EB5C-98A7-4E8D-86DA-4A4D979FBD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685925"/>
              <a:ext cx="2019300" cy="1809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228600</xdr:colOff>
      <xdr:row>3</xdr:row>
      <xdr:rowOff>323850</xdr:rowOff>
    </xdr:from>
    <xdr:to>
      <xdr:col>9</xdr:col>
      <xdr:colOff>352425</xdr:colOff>
      <xdr:row>11</xdr:row>
      <xdr:rowOff>85725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82C1F675-BBCD-7C36-FD6C-E8DE99395A71}"/>
            </a:ext>
          </a:extLst>
        </xdr:cNvPr>
        <xdr:cNvGrpSpPr/>
      </xdr:nvGrpSpPr>
      <xdr:grpSpPr>
        <a:xfrm>
          <a:off x="2476500" y="1352550"/>
          <a:ext cx="4895850" cy="1609725"/>
          <a:chOff x="2476500" y="1352550"/>
          <a:chExt cx="4895850" cy="1609725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CD6E2FCC-1F7F-42AD-A76B-FD2CA90E5926}"/>
              </a:ext>
            </a:extLst>
          </xdr:cNvPr>
          <xdr:cNvSpPr/>
        </xdr:nvSpPr>
        <xdr:spPr>
          <a:xfrm>
            <a:off x="2476500" y="1352550"/>
            <a:ext cx="4895850" cy="1609725"/>
          </a:xfrm>
          <a:prstGeom prst="roundRect">
            <a:avLst>
              <a:gd name="adj" fmla="val 909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1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5AFD88A4-86F8-4D7F-B4A3-B9BCA0106E4D}"/>
              </a:ext>
            </a:extLst>
          </xdr:cNvPr>
          <xdr:cNvSpPr/>
        </xdr:nvSpPr>
        <xdr:spPr>
          <a:xfrm>
            <a:off x="4067175" y="1952624"/>
            <a:ext cx="3143251" cy="714375"/>
          </a:xfrm>
          <a:prstGeom prst="roundRect">
            <a:avLst>
              <a:gd name="adj" fmla="val 909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3E4AA5E-89AF-419E-8A6A-D2D3D366F2F9}" type="TxLink">
              <a:rPr lang="en-US" sz="3600" b="0" i="0" u="none" strike="noStrike">
                <a:solidFill>
                  <a:srgbClr val="22C55E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pPr algn="ctr"/>
              <a:t>R$ 2.940,00</a:t>
            </a:fld>
            <a:endParaRPr lang="pt-BR" sz="3600">
              <a:solidFill>
                <a:srgbClr val="22C55E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5A60D5F4-626D-40E4-837B-E31B69D8C64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7970" b="20311"/>
          <a:stretch>
            <a:fillRect/>
          </a:stretch>
        </xdr:blipFill>
        <xdr:spPr>
          <a:xfrm>
            <a:off x="2781300" y="1952625"/>
            <a:ext cx="1219200" cy="752476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7CEA1199-CF84-A6ED-63C8-2126A7F79BD2}"/>
              </a:ext>
            </a:extLst>
          </xdr:cNvPr>
          <xdr:cNvSpPr/>
        </xdr:nvSpPr>
        <xdr:spPr>
          <a:xfrm>
            <a:off x="2600325" y="1447800"/>
            <a:ext cx="4648200" cy="3429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bg1"/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600075</xdr:colOff>
      <xdr:row>3</xdr:row>
      <xdr:rowOff>333375</xdr:rowOff>
    </xdr:from>
    <xdr:to>
      <xdr:col>18</xdr:col>
      <xdr:colOff>180975</xdr:colOff>
      <xdr:row>11</xdr:row>
      <xdr:rowOff>95250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AA879BC5-794D-B15F-3721-843499265BB9}"/>
            </a:ext>
          </a:extLst>
        </xdr:cNvPr>
        <xdr:cNvGrpSpPr/>
      </xdr:nvGrpSpPr>
      <xdr:grpSpPr>
        <a:xfrm>
          <a:off x="7620000" y="1362075"/>
          <a:ext cx="4895850" cy="1609725"/>
          <a:chOff x="7620000" y="1362075"/>
          <a:chExt cx="4895850" cy="1609725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9BDD7C07-86AA-0477-5E88-4F2B0FBF34D8}"/>
              </a:ext>
            </a:extLst>
          </xdr:cNvPr>
          <xdr:cNvSpPr/>
        </xdr:nvSpPr>
        <xdr:spPr>
          <a:xfrm>
            <a:off x="7620000" y="1362075"/>
            <a:ext cx="4895850" cy="1609725"/>
          </a:xfrm>
          <a:prstGeom prst="roundRect">
            <a:avLst>
              <a:gd name="adj" fmla="val 9096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1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A72EE723-F384-961A-3D7F-F9F82A009843}"/>
              </a:ext>
            </a:extLst>
          </xdr:cNvPr>
          <xdr:cNvSpPr/>
        </xdr:nvSpPr>
        <xdr:spPr>
          <a:xfrm>
            <a:off x="9334501" y="1962149"/>
            <a:ext cx="3009900" cy="714375"/>
          </a:xfrm>
          <a:prstGeom prst="roundRect">
            <a:avLst>
              <a:gd name="adj" fmla="val 909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6B71AA5-B90D-4A62-BF4F-B76EFC7B4657}" type="TxLink">
              <a:rPr lang="en-US" sz="3600" b="0" i="0" u="none" strike="noStrike">
                <a:solidFill>
                  <a:srgbClr val="22C55E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R$ 3.880,00</a:t>
            </a:fld>
            <a:endParaRPr lang="pt-BR" sz="3600">
              <a:solidFill>
                <a:srgbClr val="22C55E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6C631831-F3BB-84E3-1CCC-CABACBB291AF}"/>
              </a:ext>
            </a:extLst>
          </xdr:cNvPr>
          <xdr:cNvSpPr/>
        </xdr:nvSpPr>
        <xdr:spPr>
          <a:xfrm>
            <a:off x="7743825" y="1457325"/>
            <a:ext cx="4648200" cy="3429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bg1"/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rPr>
              <a:t>Total Subscriptions Minecraft</a:t>
            </a:r>
            <a:r>
              <a:rPr lang="pt-BR" sz="1400" baseline="0">
                <a:solidFill>
                  <a:schemeClr val="bg1"/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rPr>
              <a:t> </a:t>
            </a:r>
            <a:r>
              <a:rPr lang="pt-BR" sz="1400">
                <a:solidFill>
                  <a:schemeClr val="bg1"/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rPr>
              <a:t>Season Pass</a:t>
            </a:r>
          </a:p>
        </xdr:txBody>
      </xdr: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9203EFE5-9917-4BDC-B418-5B0726E46F30}"/>
              </a:ext>
            </a:extLst>
          </xdr:cNvPr>
          <xdr:cNvGrpSpPr/>
        </xdr:nvGrpSpPr>
        <xdr:grpSpPr>
          <a:xfrm>
            <a:off x="7829550" y="1914549"/>
            <a:ext cx="1352550" cy="733425"/>
            <a:chOff x="3517499" y="5313434"/>
            <a:chExt cx="1549476" cy="83971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3909DDDC-08AB-2AC0-B55A-5C6C6F1567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10324" y="5313434"/>
              <a:ext cx="720164" cy="790301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717AFBF8-BF49-68FF-12D4-80C6E8D0C1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517499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266699</xdr:colOff>
      <xdr:row>13</xdr:row>
      <xdr:rowOff>95250</xdr:rowOff>
    </xdr:from>
    <xdr:to>
      <xdr:col>18</xdr:col>
      <xdr:colOff>38099</xdr:colOff>
      <xdr:row>15</xdr:row>
      <xdr:rowOff>114300</xdr:rowOff>
    </xdr:to>
    <xdr:sp macro="" textlink="">
      <xdr:nvSpPr>
        <xdr:cNvPr id="27" name="Retângulo: Cantos Superiores Arredondados 26">
          <a:extLst>
            <a:ext uri="{FF2B5EF4-FFF2-40B4-BE49-F238E27FC236}">
              <a16:creationId xmlns:a16="http://schemas.microsoft.com/office/drawing/2014/main" id="{BFCF75E0-E872-4D7F-B3BD-24E77537A2A8}"/>
            </a:ext>
          </a:extLst>
        </xdr:cNvPr>
        <xdr:cNvSpPr/>
      </xdr:nvSpPr>
      <xdr:spPr>
        <a:xfrm>
          <a:off x="2514599" y="3352800"/>
          <a:ext cx="9858375" cy="40005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Total Subscriptions XBOX</a:t>
          </a:r>
          <a:r>
            <a:rPr lang="pt-BR" sz="1400" baseline="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 GAME PASS - AutoRenewed</a:t>
          </a:r>
          <a:endParaRPr lang="pt-BR" sz="1400">
            <a:solidFill>
              <a:schemeClr val="bg1"/>
            </a:solidFill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619970</xdr:colOff>
      <xdr:row>0</xdr:row>
      <xdr:rowOff>133349</xdr:rowOff>
    </xdr:from>
    <xdr:to>
      <xdr:col>0</xdr:col>
      <xdr:colOff>1485900</xdr:colOff>
      <xdr:row>2</xdr:row>
      <xdr:rowOff>313479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687E52AC-3505-4E4D-8D97-FE85FF8FE240}"/>
            </a:ext>
          </a:extLst>
        </xdr:cNvPr>
        <xdr:cNvSpPr/>
      </xdr:nvSpPr>
      <xdr:spPr>
        <a:xfrm>
          <a:off x="619970" y="133349"/>
          <a:ext cx="865930" cy="86593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314324</xdr:colOff>
      <xdr:row>3</xdr:row>
      <xdr:rowOff>142875</xdr:rowOff>
    </xdr:from>
    <xdr:to>
      <xdr:col>0</xdr:col>
      <xdr:colOff>1819275</xdr:colOff>
      <xdr:row>4</xdr:row>
      <xdr:rowOff>28575</xdr:rowOff>
    </xdr:to>
    <xdr:sp macro="" textlink="">
      <xdr:nvSpPr>
        <xdr:cNvPr id="29" name="Retângulo: Cantos Superiores Arredondados 28">
          <a:extLst>
            <a:ext uri="{FF2B5EF4-FFF2-40B4-BE49-F238E27FC236}">
              <a16:creationId xmlns:a16="http://schemas.microsoft.com/office/drawing/2014/main" id="{2A2F2ABE-84BB-4B25-89C6-4C8E78E2C9D7}"/>
            </a:ext>
          </a:extLst>
        </xdr:cNvPr>
        <xdr:cNvSpPr/>
      </xdr:nvSpPr>
      <xdr:spPr>
        <a:xfrm>
          <a:off x="314324" y="1171575"/>
          <a:ext cx="1504951" cy="40005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 &gt; Welcome</a:t>
          </a:r>
          <a:r>
            <a:rPr lang="pt-BR" sz="1000" baseline="0">
              <a:solidFill>
                <a:schemeClr val="bg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, Sandro</a:t>
          </a:r>
          <a:endParaRPr lang="pt-BR" sz="1000">
            <a:solidFill>
              <a:schemeClr val="bg1"/>
            </a:solidFill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257176</xdr:colOff>
      <xdr:row>3</xdr:row>
      <xdr:rowOff>19050</xdr:rowOff>
    </xdr:from>
    <xdr:to>
      <xdr:col>10</xdr:col>
      <xdr:colOff>304801</xdr:colOff>
      <xdr:row>3</xdr:row>
      <xdr:rowOff>295275</xdr:rowOff>
    </xdr:to>
    <xdr:sp macro="" textlink="">
      <xdr:nvSpPr>
        <xdr:cNvPr id="31" name="Retângulo: Cantos Superiores Arredondados 30">
          <a:extLst>
            <a:ext uri="{FF2B5EF4-FFF2-40B4-BE49-F238E27FC236}">
              <a16:creationId xmlns:a16="http://schemas.microsoft.com/office/drawing/2014/main" id="{E9783C66-87F7-47D8-AF98-F8B3EAE40F86}"/>
            </a:ext>
          </a:extLst>
        </xdr:cNvPr>
        <xdr:cNvSpPr/>
      </xdr:nvSpPr>
      <xdr:spPr>
        <a:xfrm>
          <a:off x="2505076" y="1047750"/>
          <a:ext cx="5429250" cy="27622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solidFill>
                <a:schemeClr val="tx1">
                  <a:lumMod val="50000"/>
                  <a:lumOff val="50000"/>
                </a:schemeClr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Calculation period: 01/01/2024 - 31/12/2024</a:t>
          </a:r>
          <a:r>
            <a:rPr lang="pt-BR" sz="1000" baseline="0">
              <a:solidFill>
                <a:schemeClr val="tx1">
                  <a:lumMod val="50000"/>
                  <a:lumOff val="50000"/>
                </a:schemeClr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  |  Update date: 25/12/2024 09:00:00</a:t>
          </a:r>
          <a:endParaRPr lang="pt-BR" sz="1000">
            <a:solidFill>
              <a:schemeClr val="tx1">
                <a:lumMod val="50000"/>
                <a:lumOff val="50000"/>
              </a:schemeClr>
            </a:solidFill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o Vasconcellos" refreshedDate="46059.84991203704" createdVersion="8" refreshedVersion="8" minRefreshableVersion="3" recordCount="295" xr:uid="{73A7C3D0-D904-4310-B347-7EAFEE2B3E2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30752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4A7E3-6D60-4F16-9E74-50D91E14946F}" name="tbl_Subscripton_xbox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7:C4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dataField="1" numFmtId="44" showAll="0"/>
    <pivotField axis="axisPage" multipleItemSelectionAllowed="1" showAll="0">
      <items count="4">
        <item sd="0" x="1"/>
        <item sd="0" x="0"/>
        <item sd="0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Subscription Price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463A9-2D8B-4740-A803-6531971CC285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sd="0" x="1"/>
        <item sd="0" x="0"/>
        <item sd="0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DFA2B-D2DE-4BC5-A853-AB68E9D1E4D1}" name="tbl_eapass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sd="0" x="1"/>
        <item sd="0" x="0"/>
        <item sd="0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formats count="2">
    <format dxfId="17">
      <pivotArea grandRow="1" outline="0" collapsedLevelsAreSubtotals="1" fieldPosition="0"/>
    </format>
    <format dxfId="16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F1709-A3FF-4CBE-B41B-E9A1DC6D67CC}" name="tbl_annual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sd="0" x="1"/>
        <item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D386AEA-C7C0-49A4-9816-B9E47AAE843D}" sourceName="Subscription Type">
  <pivotTables>
    <pivotTable tabId="3" name="tbl_annual_total"/>
    <pivotTable tabId="3" name="tbl_eapass_total"/>
    <pivotTable tabId="3" name="Tabela dinâmica3"/>
    <pivotTable tabId="3" name="tbl_Subscripton_xbox"/>
  </pivotTables>
  <data>
    <tabular pivotCacheId="13307528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ED34EFF-DD19-4A56-9138-18EDCC8FC5C3}" cache="SegmentaçãodeDados_Subscription_Type" caption="Subscription Type" style="meu estilo xbox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3">
  <autoFilter ref="A1:M296" xr:uid="{34E0E886-4200-4B36-97B3-63DB74FF40A0}"/>
  <tableColumns count="13">
    <tableColumn id="1" xr3:uid="{C4A90516-688A-46BF-9167-EA16C2A8A652}" name="Subscriber ID" dataDxfId="32"/>
    <tableColumn id="2" xr3:uid="{53DD39D0-2220-4121-9E9D-4EAA7E151C0F}" name="Name" dataDxfId="31"/>
    <tableColumn id="3" xr3:uid="{4F5FF271-4C57-4BE0-8F2C-F82C8551625C}" name="Plan" dataDxfId="30"/>
    <tableColumn id="4" xr3:uid="{8C17EB93-79B9-4E55-B8F7-BEB82F8253E9}" name="Start Date" dataDxfId="29"/>
    <tableColumn id="5" xr3:uid="{48CEDF9B-1689-482A-A828-5CCE7713264A}" name="Auto Renewal" dataDxfId="28"/>
    <tableColumn id="6" xr3:uid="{78B82374-9AA7-4E38-AE4F-78CDE6C83720}" name="Subscription Price" dataDxfId="27" dataCellStyle="Moeda"/>
    <tableColumn id="7" xr3:uid="{F2433F68-AF33-49D0-B1FB-19A396074EDE}" name="Subscription Type" dataDxfId="26"/>
    <tableColumn id="8" xr3:uid="{FD4D9C95-F6E5-4933-9068-A71FF7DF9343}" name="EA Play Season Pass" dataDxfId="25"/>
    <tableColumn id="13" xr3:uid="{978DD0D2-834E-4CE4-A39B-30976086932F}" name="EA Play Season Pass_x000a_Price" dataDxfId="24" dataCellStyle="Moeda"/>
    <tableColumn id="9" xr3:uid="{6E29F111-C395-4580-9DAD-3407D9E8B1A4}" name="Minecraft Season Pass" dataDxfId="23"/>
    <tableColumn id="10" xr3:uid="{EF544EAA-7F25-4FD5-A10E-8E62804DB9E3}" name="Minecraft Season Pass Price" dataDxfId="22" dataCellStyle="Moeda"/>
    <tableColumn id="11" xr3:uid="{7F6EB64A-1F07-4E48-9F0F-AC7D9DCD26F8}" name="Coupon Value" dataDxfId="21" dataCellStyle="Moeda"/>
    <tableColumn id="12" xr3:uid="{2B04ABC8-DE6F-426E-ADC0-D8AFC68CA58E}" name="Total Value" dataDxfId="2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41" sqref="C4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41" sqref="C4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8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F41"/>
  <sheetViews>
    <sheetView showGridLines="0" workbookViewId="0">
      <selection activeCell="C41" sqref="C41"/>
    </sheetView>
  </sheetViews>
  <sheetFormatPr defaultRowHeight="15" x14ac:dyDescent="0.25"/>
  <cols>
    <col min="2" max="2" width="18.42578125" bestFit="1" customWidth="1"/>
    <col min="3" max="3" width="26.140625" bestFit="1" customWidth="1"/>
    <col min="4" max="5" width="19.28515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6" x14ac:dyDescent="0.25">
      <c r="B1" s="12" t="s">
        <v>313</v>
      </c>
      <c r="C1" s="12"/>
      <c r="D1" s="12"/>
      <c r="E1" s="12"/>
      <c r="F1" s="12"/>
    </row>
    <row r="3" spans="2:6" x14ac:dyDescent="0.25">
      <c r="B3" t="s">
        <v>317</v>
      </c>
    </row>
    <row r="4" spans="2:6" x14ac:dyDescent="0.25">
      <c r="B4" t="s">
        <v>318</v>
      </c>
    </row>
    <row r="6" spans="2:6" x14ac:dyDescent="0.25">
      <c r="B6" s="14" t="s">
        <v>16</v>
      </c>
      <c r="C6" t="s">
        <v>319</v>
      </c>
    </row>
    <row r="8" spans="2:6" x14ac:dyDescent="0.25">
      <c r="B8" s="14" t="s">
        <v>315</v>
      </c>
      <c r="C8" t="s">
        <v>314</v>
      </c>
    </row>
    <row r="9" spans="2:6" x14ac:dyDescent="0.25">
      <c r="B9" s="15" t="s">
        <v>23</v>
      </c>
      <c r="C9" s="13">
        <v>3847</v>
      </c>
    </row>
    <row r="10" spans="2:6" x14ac:dyDescent="0.25">
      <c r="B10" s="15" t="s">
        <v>19</v>
      </c>
      <c r="C10" s="13">
        <v>3786</v>
      </c>
    </row>
    <row r="11" spans="2:6" x14ac:dyDescent="0.25">
      <c r="B11" s="15" t="s">
        <v>316</v>
      </c>
      <c r="C11" s="13">
        <v>7633</v>
      </c>
    </row>
    <row r="13" spans="2:6" x14ac:dyDescent="0.25">
      <c r="B13" s="15" t="s">
        <v>321</v>
      </c>
    </row>
    <row r="15" spans="2:6" x14ac:dyDescent="0.25">
      <c r="B15" s="14" t="s">
        <v>16</v>
      </c>
      <c r="C15" t="s">
        <v>319</v>
      </c>
    </row>
    <row r="17" spans="2:5" x14ac:dyDescent="0.25">
      <c r="B17" s="14" t="s">
        <v>315</v>
      </c>
      <c r="C17" t="s">
        <v>322</v>
      </c>
    </row>
    <row r="18" spans="2:5" x14ac:dyDescent="0.25">
      <c r="B18" s="15" t="s">
        <v>22</v>
      </c>
      <c r="C18" s="13">
        <v>0</v>
      </c>
    </row>
    <row r="19" spans="2:5" x14ac:dyDescent="0.25">
      <c r="B19" s="15" t="s">
        <v>26</v>
      </c>
      <c r="C19" s="13">
        <v>0</v>
      </c>
    </row>
    <row r="20" spans="2:5" x14ac:dyDescent="0.25">
      <c r="B20" s="15" t="s">
        <v>18</v>
      </c>
      <c r="C20" s="13">
        <v>2940</v>
      </c>
    </row>
    <row r="21" spans="2:5" x14ac:dyDescent="0.25">
      <c r="B21" s="15" t="s">
        <v>316</v>
      </c>
      <c r="C21" s="13">
        <v>2940</v>
      </c>
      <c r="E21" s="19">
        <f>GETPIVOTDATA("EA Play Season Pass
Price",$B$17)</f>
        <v>2940</v>
      </c>
    </row>
    <row r="23" spans="2:5" x14ac:dyDescent="0.25">
      <c r="B23" s="15" t="s">
        <v>323</v>
      </c>
    </row>
    <row r="25" spans="2:5" x14ac:dyDescent="0.25">
      <c r="B25" s="14" t="s">
        <v>16</v>
      </c>
      <c r="C25" t="s">
        <v>319</v>
      </c>
    </row>
    <row r="27" spans="2:5" x14ac:dyDescent="0.25">
      <c r="B27" s="14" t="s">
        <v>315</v>
      </c>
      <c r="C27" t="s">
        <v>324</v>
      </c>
    </row>
    <row r="28" spans="2:5" x14ac:dyDescent="0.25">
      <c r="B28" s="15" t="s">
        <v>22</v>
      </c>
      <c r="C28" s="13">
        <v>0</v>
      </c>
    </row>
    <row r="29" spans="2:5" x14ac:dyDescent="0.25">
      <c r="B29" s="15" t="s">
        <v>26</v>
      </c>
      <c r="C29" s="13">
        <v>1920</v>
      </c>
    </row>
    <row r="30" spans="2:5" x14ac:dyDescent="0.25">
      <c r="B30" s="15" t="s">
        <v>18</v>
      </c>
      <c r="C30" s="13">
        <v>1960</v>
      </c>
    </row>
    <row r="31" spans="2:5" x14ac:dyDescent="0.25">
      <c r="B31" s="15" t="s">
        <v>316</v>
      </c>
      <c r="C31" s="13">
        <v>3880</v>
      </c>
      <c r="E31" s="20">
        <f>GETPIVOTDATA("Minecraft Season Pass Price",$B$27)</f>
        <v>3880</v>
      </c>
    </row>
    <row r="33" spans="2:3" x14ac:dyDescent="0.25">
      <c r="B33" s="15" t="s">
        <v>326</v>
      </c>
    </row>
    <row r="35" spans="2:3" x14ac:dyDescent="0.25">
      <c r="B35" s="14" t="s">
        <v>16</v>
      </c>
      <c r="C35" t="s">
        <v>319</v>
      </c>
    </row>
    <row r="37" spans="2:3" x14ac:dyDescent="0.25">
      <c r="B37" s="14" t="s">
        <v>315</v>
      </c>
      <c r="C37" t="s">
        <v>325</v>
      </c>
    </row>
    <row r="38" spans="2:3" x14ac:dyDescent="0.25">
      <c r="B38" s="15" t="s">
        <v>22</v>
      </c>
      <c r="C38" s="13">
        <v>505</v>
      </c>
    </row>
    <row r="39" spans="2:3" x14ac:dyDescent="0.25">
      <c r="B39" s="15" t="s">
        <v>26</v>
      </c>
      <c r="C39" s="13">
        <v>960</v>
      </c>
    </row>
    <row r="40" spans="2:3" x14ac:dyDescent="0.25">
      <c r="B40" s="15" t="s">
        <v>18</v>
      </c>
      <c r="C40" s="13">
        <v>1470</v>
      </c>
    </row>
    <row r="41" spans="2:3" x14ac:dyDescent="0.25">
      <c r="B41" s="15" t="s">
        <v>316</v>
      </c>
      <c r="C41" s="13">
        <v>2935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44"/>
  <sheetViews>
    <sheetView showGridLines="0" showRowColHeaders="0" tabSelected="1" zoomScaleNormal="100" workbookViewId="0">
      <selection activeCell="D40" sqref="D4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3.7109375" style="22" customWidth="1"/>
    <col min="2" max="2" width="7.5703125" style="17" customWidth="1"/>
    <col min="3" max="11" width="9.140625" style="17"/>
    <col min="12" max="12" width="6.5703125" style="17" customWidth="1"/>
    <col min="13" max="26" width="9.140625" style="17"/>
  </cols>
  <sheetData>
    <row r="1" spans="1:26" ht="27" customHeight="1" x14ac:dyDescent="0.25">
      <c r="A1" s="16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27" customHeight="1" thickBot="1" x14ac:dyDescent="0.3">
      <c r="A2" s="16"/>
      <c r="B2"/>
      <c r="C2" s="21" t="s">
        <v>320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/>
      <c r="S2"/>
      <c r="T2"/>
      <c r="U2"/>
      <c r="V2"/>
      <c r="W2"/>
      <c r="X2"/>
      <c r="Y2"/>
      <c r="Z2"/>
    </row>
    <row r="3" spans="1:26" ht="27" customHeight="1" thickTop="1" x14ac:dyDescent="0.25">
      <c r="A3" s="16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ht="40.5" customHeight="1" x14ac:dyDescent="0.25">
      <c r="A4" s="1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 x14ac:dyDescent="0.25">
      <c r="A5" s="1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 x14ac:dyDescent="0.25">
      <c r="A6" s="1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 x14ac:dyDescent="0.25">
      <c r="A7" s="1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 x14ac:dyDescent="0.25">
      <c r="A8" s="16"/>
      <c r="B8" s="7"/>
      <c r="C8" s="7"/>
      <c r="D8" s="7"/>
      <c r="E8" s="7"/>
      <c r="F8" s="7"/>
      <c r="G8" s="7"/>
      <c r="H8" s="7"/>
      <c r="I8" s="7"/>
      <c r="J8" s="7"/>
      <c r="K8" s="7"/>
      <c r="L8" s="18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 x14ac:dyDescent="0.25">
      <c r="A9" s="16"/>
      <c r="B9" s="7"/>
      <c r="C9" s="7"/>
      <c r="D9" s="7"/>
      <c r="E9" s="7"/>
      <c r="F9" s="7"/>
      <c r="G9" s="7"/>
      <c r="H9" s="7"/>
      <c r="I9" s="7"/>
      <c r="J9" s="7"/>
      <c r="K9" s="7"/>
      <c r="L9" s="18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 x14ac:dyDescent="0.25">
      <c r="A10" s="1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 x14ac:dyDescent="0.25">
      <c r="A11" s="1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 x14ac:dyDescent="0.25">
      <c r="A12" s="1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 x14ac:dyDescent="0.25">
      <c r="A13" s="1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1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5">
      <c r="A15" s="1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A16" s="1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A17" s="1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1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A19" s="1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1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A21" s="1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A22" s="1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A23" s="1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A24" s="1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A25" s="1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1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A27" s="1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A28" s="1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A29" s="1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1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5">
      <c r="A31" s="1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1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1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1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5">
      <c r="A35" s="1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1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5">
      <c r="A37" s="1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A38" s="1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5">
      <c r="A39" s="1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5">
      <c r="A40" s="1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5">
      <c r="A41" s="1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5">
      <c r="A42" s="1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5">
      <c r="A43" s="1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5">
      <c r="A44" s="1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</sheetData>
  <sheetProtection sort="0" autoFilter="0"/>
  <mergeCells count="1">
    <mergeCell ref="C2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Sandro Vasconcellos</cp:lastModifiedBy>
  <dcterms:created xsi:type="dcterms:W3CDTF">2024-12-19T13:13:10Z</dcterms:created>
  <dcterms:modified xsi:type="dcterms:W3CDTF">2026-02-07T01:34:57Z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